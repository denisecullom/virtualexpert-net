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vings calcula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0.0"/>
    <numFmt numFmtId="166" formatCode="0.##"/>
    <numFmt numFmtId="167" formatCode="0&quot;x&quot;"/>
  </numFmts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52606D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DF3EC"/>
      </patternFill>
    </fill>
    <fill>
      <patternFill patternType="solid">
        <fgColor rgb="001F6F6B"/>
      </patternFill>
    </fill>
    <fill>
      <patternFill patternType="solid">
        <fgColor rgb="00ECF6F4"/>
      </patternFill>
    </fill>
  </fills>
  <borders count="2">
    <border>
      <left/>
      <right/>
      <top/>
      <bottom/>
      <diagonal/>
    </border>
    <border>
      <bottom style="thin">
        <color rgb="00E4E7E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0" pivotButton="0" quotePrefix="0" xfId="0"/>
    <xf numFmtId="0" fontId="4" fillId="3" borderId="0" applyAlignment="1" pivotButton="0" quotePrefix="0" xfId="0">
      <alignment vertical="center" wrapText="1"/>
    </xf>
    <xf numFmtId="0" fontId="0" fillId="0" borderId="1" pivotButton="0" quotePrefix="0" xfId="0"/>
    <xf numFmtId="0" fontId="0" fillId="2" borderId="1" pivotButton="0" quotePrefix="0" xfId="0"/>
    <xf numFmtId="166" fontId="0" fillId="2" borderId="1" pivotButton="0" quotePrefix="0" xfId="0"/>
    <xf numFmtId="165" fontId="0" fillId="0" borderId="1" pivotButton="0" quotePrefix="0" xfId="0"/>
    <xf numFmtId="164" fontId="0" fillId="0" borderId="1" pivotButton="0" quotePrefix="0" xfId="0"/>
    <xf numFmtId="164" fontId="0" fillId="2" borderId="1" pivotButton="0" quotePrefix="0" xfId="0"/>
    <xf numFmtId="165" fontId="3" fillId="0" borderId="0" pivotButton="0" quotePrefix="0" xfId="0"/>
    <xf numFmtId="164" fontId="3" fillId="0" borderId="0" pivotButton="0" quotePrefix="0" xfId="0"/>
    <xf numFmtId="164" fontId="3" fillId="4" borderId="0" pivotButton="0" quotePrefix="0" xfId="0"/>
    <xf numFmtId="167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17" customWidth="1" min="3" max="3"/>
    <col width="14" customWidth="1" min="4" max="4"/>
    <col width="14" customWidth="1" min="5" max="5"/>
    <col width="11" customWidth="1" min="6" max="6"/>
    <col width="13" customWidth="1" min="7" max="7"/>
    <col width="13" customWidth="1" min="8" max="8"/>
    <col width="14" customWidth="1" min="9" max="9"/>
    <col width="12" customWidth="1" min="10" max="10"/>
    <col width="15" customWidth="1" min="11" max="11"/>
  </cols>
  <sheetData>
    <row r="1">
      <c r="A1" s="1" t="inlineStr">
        <is>
          <t>20 AI Agents That Pay for Themselves: savings calculator</t>
        </is>
      </c>
    </row>
    <row r="2">
      <c r="A2" s="2" t="inlineStr">
        <is>
          <t>Change the shaded cells to match your business. Everything else calculates. Cash and revenue upside are not included.</t>
        </is>
      </c>
    </row>
    <row r="4">
      <c r="A4" s="3" t="inlineStr">
        <is>
          <t>Your hourly cost ($)</t>
        </is>
      </c>
      <c r="C4" s="4" t="n">
        <v>40</v>
      </c>
    </row>
    <row r="5">
      <c r="A5" s="3" t="inlineStr">
        <is>
          <t>Monthly AI plan cost ($)</t>
        </is>
      </c>
      <c r="C5" s="4" t="n">
        <v>20</v>
      </c>
    </row>
    <row r="7" ht="45" customHeight="1">
      <c r="A7" s="5" t="inlineStr">
        <is>
          <t>#</t>
        </is>
      </c>
      <c r="B7" s="5" t="inlineStr">
        <is>
          <t>Agent</t>
        </is>
      </c>
      <c r="C7" s="5" t="inlineStr">
        <is>
          <t>Department</t>
        </is>
      </c>
      <c r="D7" s="5" t="inlineStr">
        <is>
          <t>Minutes by hand (per run)</t>
        </is>
      </c>
      <c r="E7" s="5" t="inlineStr">
        <is>
          <t>Minutes to review (per run)</t>
        </is>
      </c>
      <c r="F7" s="5" t="inlineStr">
        <is>
          <t>Runs per month</t>
        </is>
      </c>
      <c r="G7" s="5" t="inlineStr">
        <is>
          <t>Hours saved / month</t>
        </is>
      </c>
      <c r="H7" s="5" t="inlineStr">
        <is>
          <t>Time savings / month</t>
        </is>
      </c>
      <c r="I7" s="5" t="inlineStr">
        <is>
          <t>Direct savings / month ($)</t>
        </is>
      </c>
      <c r="J7" s="5" t="inlineStr">
        <is>
          <t>Building it? (Y/N)</t>
        </is>
      </c>
      <c r="K7" s="5" t="inlineStr">
        <is>
          <t>Counted savings / month</t>
        </is>
      </c>
    </row>
    <row r="8">
      <c r="A8" s="6" t="n">
        <v>1</v>
      </c>
      <c r="B8" s="6" t="inlineStr">
        <is>
          <t>Inbox Triage</t>
        </is>
      </c>
      <c r="C8" s="6" t="inlineStr">
        <is>
          <t>Operations</t>
        </is>
      </c>
      <c r="D8" s="7" t="n">
        <v>45</v>
      </c>
      <c r="E8" s="7" t="n">
        <v>15</v>
      </c>
      <c r="F8" s="8" t="n">
        <v>20</v>
      </c>
      <c r="G8" s="9">
        <f>MAX(0,(D8-E8)*F8/60)</f>
        <v/>
      </c>
      <c r="H8" s="10">
        <f>G8*$C$4</f>
        <v/>
      </c>
      <c r="I8" s="11" t="n">
        <v>0</v>
      </c>
      <c r="J8" s="7" t="inlineStr">
        <is>
          <t>Y</t>
        </is>
      </c>
      <c r="K8" s="10">
        <f>IF(UPPER(J8)="Y",H8+I8,0)</f>
        <v/>
      </c>
    </row>
    <row r="9">
      <c r="A9" s="6" t="n">
        <v>2</v>
      </c>
      <c r="B9" s="6" t="inlineStr">
        <is>
          <t>Meeting Notes</t>
        </is>
      </c>
      <c r="C9" s="6" t="inlineStr">
        <is>
          <t>Operations</t>
        </is>
      </c>
      <c r="D9" s="7" t="n">
        <v>20</v>
      </c>
      <c r="E9" s="7" t="n">
        <v>5</v>
      </c>
      <c r="F9" s="8" t="n">
        <v>24</v>
      </c>
      <c r="G9" s="9">
        <f>MAX(0,(D9-E9)*F9/60)</f>
        <v/>
      </c>
      <c r="H9" s="10">
        <f>G9*$C$4</f>
        <v/>
      </c>
      <c r="I9" s="11" t="n">
        <v>0</v>
      </c>
      <c r="J9" s="7" t="inlineStr">
        <is>
          <t>Y</t>
        </is>
      </c>
      <c r="K9" s="10">
        <f>IF(UPPER(J9)="Y",H9+I9,0)</f>
        <v/>
      </c>
    </row>
    <row r="10">
      <c r="A10" s="6" t="n">
        <v>3</v>
      </c>
      <c r="B10" s="6" t="inlineStr">
        <is>
          <t>SOP Writer</t>
        </is>
      </c>
      <c r="C10" s="6" t="inlineStr">
        <is>
          <t>Operations</t>
        </is>
      </c>
      <c r="D10" s="7" t="n">
        <v>240</v>
      </c>
      <c r="E10" s="7" t="n">
        <v>60</v>
      </c>
      <c r="F10" s="8" t="n">
        <v>2</v>
      </c>
      <c r="G10" s="9">
        <f>MAX(0,(D10-E10)*F10/60)</f>
        <v/>
      </c>
      <c r="H10" s="10">
        <f>G10*$C$4</f>
        <v/>
      </c>
      <c r="I10" s="11" t="n">
        <v>0</v>
      </c>
      <c r="J10" s="7" t="inlineStr">
        <is>
          <t>Y</t>
        </is>
      </c>
      <c r="K10" s="10">
        <f>IF(UPPER(J10)="Y",H10+I10,0)</f>
        <v/>
      </c>
    </row>
    <row r="11">
      <c r="A11" s="6" t="n">
        <v>4</v>
      </c>
      <c r="B11" s="6" t="inlineStr">
        <is>
          <t>Weekly Ops Report</t>
        </is>
      </c>
      <c r="C11" s="6" t="inlineStr">
        <is>
          <t>Operations</t>
        </is>
      </c>
      <c r="D11" s="7" t="n">
        <v>180</v>
      </c>
      <c r="E11" s="7" t="n">
        <v>30</v>
      </c>
      <c r="F11" s="8" t="n">
        <v>4</v>
      </c>
      <c r="G11" s="9">
        <f>MAX(0,(D11-E11)*F11/60)</f>
        <v/>
      </c>
      <c r="H11" s="10">
        <f>G11*$C$4</f>
        <v/>
      </c>
      <c r="I11" s="11" t="n">
        <v>0</v>
      </c>
      <c r="J11" s="7" t="inlineStr">
        <is>
          <t>Y</t>
        </is>
      </c>
      <c r="K11" s="10">
        <f>IF(UPPER(J11)="Y",H11+I11,0)</f>
        <v/>
      </c>
    </row>
    <row r="12">
      <c r="A12" s="6" t="n">
        <v>5</v>
      </c>
      <c r="B12" s="6" t="inlineStr">
        <is>
          <t>Prospect Research</t>
        </is>
      </c>
      <c r="C12" s="6" t="inlineStr">
        <is>
          <t>Sales</t>
        </is>
      </c>
      <c r="D12" s="7" t="n">
        <v>20</v>
      </c>
      <c r="E12" s="7" t="n">
        <v>5</v>
      </c>
      <c r="F12" s="8" t="n">
        <v>20</v>
      </c>
      <c r="G12" s="9">
        <f>MAX(0,(D12-E12)*F12/60)</f>
        <v/>
      </c>
      <c r="H12" s="10">
        <f>G12*$C$4</f>
        <v/>
      </c>
      <c r="I12" s="11" t="n">
        <v>0</v>
      </c>
      <c r="J12" s="7" t="inlineStr">
        <is>
          <t>Y</t>
        </is>
      </c>
      <c r="K12" s="10">
        <f>IF(UPPER(J12)="Y",H12+I12,0)</f>
        <v/>
      </c>
    </row>
    <row r="13">
      <c r="A13" s="6" t="n">
        <v>6</v>
      </c>
      <c r="B13" s="6" t="inlineStr">
        <is>
          <t>Follow-Up</t>
        </is>
      </c>
      <c r="C13" s="6" t="inlineStr">
        <is>
          <t>Sales</t>
        </is>
      </c>
      <c r="D13" s="7" t="n">
        <v>30</v>
      </c>
      <c r="E13" s="7" t="n">
        <v>12</v>
      </c>
      <c r="F13" s="8" t="n">
        <v>20</v>
      </c>
      <c r="G13" s="9">
        <f>MAX(0,(D13-E13)*F13/60)</f>
        <v/>
      </c>
      <c r="H13" s="10">
        <f>G13*$C$4</f>
        <v/>
      </c>
      <c r="I13" s="11" t="n">
        <v>0</v>
      </c>
      <c r="J13" s="7" t="inlineStr">
        <is>
          <t>Y</t>
        </is>
      </c>
      <c r="K13" s="10">
        <f>IF(UPPER(J13)="Y",H13+I13,0)</f>
        <v/>
      </c>
    </row>
    <row r="14">
      <c r="A14" s="6" t="n">
        <v>7</v>
      </c>
      <c r="B14" s="6" t="inlineStr">
        <is>
          <t>Proposal Builder</t>
        </is>
      </c>
      <c r="C14" s="6" t="inlineStr">
        <is>
          <t>Sales</t>
        </is>
      </c>
      <c r="D14" s="7" t="n">
        <v>180</v>
      </c>
      <c r="E14" s="7" t="n">
        <v>60</v>
      </c>
      <c r="F14" s="8" t="n">
        <v>4</v>
      </c>
      <c r="G14" s="9">
        <f>MAX(0,(D14-E14)*F14/60)</f>
        <v/>
      </c>
      <c r="H14" s="10">
        <f>G14*$C$4</f>
        <v/>
      </c>
      <c r="I14" s="11" t="n">
        <v>0</v>
      </c>
      <c r="J14" s="7" t="inlineStr">
        <is>
          <t>Y</t>
        </is>
      </c>
      <c r="K14" s="10">
        <f>IF(UPPER(J14)="Y",H14+I14,0)</f>
        <v/>
      </c>
    </row>
    <row r="15">
      <c r="A15" s="6" t="n">
        <v>8</v>
      </c>
      <c r="B15" s="6" t="inlineStr">
        <is>
          <t>Content Repurposing</t>
        </is>
      </c>
      <c r="C15" s="6" t="inlineStr">
        <is>
          <t>Marketing</t>
        </is>
      </c>
      <c r="D15" s="7" t="n">
        <v>180</v>
      </c>
      <c r="E15" s="7" t="n">
        <v>45</v>
      </c>
      <c r="F15" s="8" t="n">
        <v>4</v>
      </c>
      <c r="G15" s="9">
        <f>MAX(0,(D15-E15)*F15/60)</f>
        <v/>
      </c>
      <c r="H15" s="10">
        <f>G15*$C$4</f>
        <v/>
      </c>
      <c r="I15" s="11" t="n">
        <v>0</v>
      </c>
      <c r="J15" s="7" t="inlineStr">
        <is>
          <t>Y</t>
        </is>
      </c>
      <c r="K15" s="10">
        <f>IF(UPPER(J15)="Y",H15+I15,0)</f>
        <v/>
      </c>
    </row>
    <row r="16">
      <c r="A16" s="6" t="n">
        <v>9</v>
      </c>
      <c r="B16" s="6" t="inlineStr">
        <is>
          <t>Newsletter</t>
        </is>
      </c>
      <c r="C16" s="6" t="inlineStr">
        <is>
          <t>Marketing</t>
        </is>
      </c>
      <c r="D16" s="7" t="n">
        <v>180</v>
      </c>
      <c r="E16" s="7" t="n">
        <v>60</v>
      </c>
      <c r="F16" s="8" t="n">
        <v>4</v>
      </c>
      <c r="G16" s="9">
        <f>MAX(0,(D16-E16)*F16/60)</f>
        <v/>
      </c>
      <c r="H16" s="10">
        <f>G16*$C$4</f>
        <v/>
      </c>
      <c r="I16" s="11" t="n">
        <v>0</v>
      </c>
      <c r="J16" s="7" t="inlineStr">
        <is>
          <t>Y</t>
        </is>
      </c>
      <c r="K16" s="10">
        <f>IF(UPPER(J16)="Y",H16+I16,0)</f>
        <v/>
      </c>
    </row>
    <row r="17">
      <c r="A17" s="6" t="n">
        <v>10</v>
      </c>
      <c r="B17" s="6" t="inlineStr">
        <is>
          <t>Competitor Watch</t>
        </is>
      </c>
      <c r="C17" s="6" t="inlineStr">
        <is>
          <t>Marketing</t>
        </is>
      </c>
      <c r="D17" s="7" t="n">
        <v>240</v>
      </c>
      <c r="E17" s="7" t="n">
        <v>30</v>
      </c>
      <c r="F17" s="8" t="n">
        <v>1</v>
      </c>
      <c r="G17" s="9">
        <f>MAX(0,(D17-E17)*F17/60)</f>
        <v/>
      </c>
      <c r="H17" s="10">
        <f>G17*$C$4</f>
        <v/>
      </c>
      <c r="I17" s="11" t="n">
        <v>0</v>
      </c>
      <c r="J17" s="7" t="inlineStr">
        <is>
          <t>Y</t>
        </is>
      </c>
      <c r="K17" s="10">
        <f>IF(UPPER(J17)="Y",H17+I17,0)</f>
        <v/>
      </c>
    </row>
    <row r="18">
      <c r="A18" s="6" t="n">
        <v>11</v>
      </c>
      <c r="B18" s="6" t="inlineStr">
        <is>
          <t>Review Reply</t>
        </is>
      </c>
      <c r="C18" s="6" t="inlineStr">
        <is>
          <t>Marketing</t>
        </is>
      </c>
      <c r="D18" s="7" t="n">
        <v>9</v>
      </c>
      <c r="E18" s="7" t="n">
        <v>3</v>
      </c>
      <c r="F18" s="8" t="n">
        <v>25</v>
      </c>
      <c r="G18" s="9">
        <f>MAX(0,(D18-E18)*F18/60)</f>
        <v/>
      </c>
      <c r="H18" s="10">
        <f>G18*$C$4</f>
        <v/>
      </c>
      <c r="I18" s="11" t="n">
        <v>0</v>
      </c>
      <c r="J18" s="7" t="inlineStr">
        <is>
          <t>Y</t>
        </is>
      </c>
      <c r="K18" s="10">
        <f>IF(UPPER(J18)="Y",H18+I18,0)</f>
        <v/>
      </c>
    </row>
    <row r="19">
      <c r="A19" s="6" t="n">
        <v>12</v>
      </c>
      <c r="B19" s="6" t="inlineStr">
        <is>
          <t>Support Reply</t>
        </is>
      </c>
      <c r="C19" s="6" t="inlineStr">
        <is>
          <t>Customer service</t>
        </is>
      </c>
      <c r="D19" s="7" t="n">
        <v>8</v>
      </c>
      <c r="E19" s="7" t="n">
        <v>3</v>
      </c>
      <c r="F19" s="8" t="n">
        <v>96</v>
      </c>
      <c r="G19" s="9">
        <f>MAX(0,(D19-E19)*F19/60)</f>
        <v/>
      </c>
      <c r="H19" s="10">
        <f>G19*$C$4</f>
        <v/>
      </c>
      <c r="I19" s="11" t="n">
        <v>0</v>
      </c>
      <c r="J19" s="7" t="inlineStr">
        <is>
          <t>Y</t>
        </is>
      </c>
      <c r="K19" s="10">
        <f>IF(UPPER(J19)="Y",H19+I19,0)</f>
        <v/>
      </c>
    </row>
    <row r="20">
      <c r="A20" s="6" t="n">
        <v>13</v>
      </c>
      <c r="B20" s="6" t="inlineStr">
        <is>
          <t>Feedback Analyzer</t>
        </is>
      </c>
      <c r="C20" s="6" t="inlineStr">
        <is>
          <t>Customer service</t>
        </is>
      </c>
      <c r="D20" s="7" t="n">
        <v>240</v>
      </c>
      <c r="E20" s="7" t="n">
        <v>30</v>
      </c>
      <c r="F20" s="8" t="n">
        <v>1</v>
      </c>
      <c r="G20" s="9">
        <f>MAX(0,(D20-E20)*F20/60)</f>
        <v/>
      </c>
      <c r="H20" s="10">
        <f>G20*$C$4</f>
        <v/>
      </c>
      <c r="I20" s="11" t="n">
        <v>0</v>
      </c>
      <c r="J20" s="7" t="inlineStr">
        <is>
          <t>Y</t>
        </is>
      </c>
      <c r="K20" s="10">
        <f>IF(UPPER(J20)="Y",H20+I20,0)</f>
        <v/>
      </c>
    </row>
    <row r="21">
      <c r="A21" s="6" t="n">
        <v>14</v>
      </c>
      <c r="B21" s="6" t="inlineStr">
        <is>
          <t>Client Onboarding</t>
        </is>
      </c>
      <c r="C21" s="6" t="inlineStr">
        <is>
          <t>Customer service</t>
        </is>
      </c>
      <c r="D21" s="7" t="n">
        <v>120</v>
      </c>
      <c r="E21" s="7" t="n">
        <v>30</v>
      </c>
      <c r="F21" s="8" t="n">
        <v>4</v>
      </c>
      <c r="G21" s="9">
        <f>MAX(0,(D21-E21)*F21/60)</f>
        <v/>
      </c>
      <c r="H21" s="10">
        <f>G21*$C$4</f>
        <v/>
      </c>
      <c r="I21" s="11" t="n">
        <v>0</v>
      </c>
      <c r="J21" s="7" t="inlineStr">
        <is>
          <t>Y</t>
        </is>
      </c>
      <c r="K21" s="10">
        <f>IF(UPPER(J21)="Y",H21+I21,0)</f>
        <v/>
      </c>
    </row>
    <row r="22">
      <c r="A22" s="6" t="n">
        <v>15</v>
      </c>
      <c r="B22" s="6" t="inlineStr">
        <is>
          <t>Collections</t>
        </is>
      </c>
      <c r="C22" s="6" t="inlineStr">
        <is>
          <t>Finance</t>
        </is>
      </c>
      <c r="D22" s="7" t="n">
        <v>240</v>
      </c>
      <c r="E22" s="7" t="n">
        <v>60</v>
      </c>
      <c r="F22" s="8" t="n">
        <v>1</v>
      </c>
      <c r="G22" s="9">
        <f>MAX(0,(D22-E22)*F22/60)</f>
        <v/>
      </c>
      <c r="H22" s="10">
        <f>G22*$C$4</f>
        <v/>
      </c>
      <c r="I22" s="11" t="n">
        <v>0</v>
      </c>
      <c r="J22" s="7" t="inlineStr">
        <is>
          <t>Y</t>
        </is>
      </c>
      <c r="K22" s="10">
        <f>IF(UPPER(J22)="Y",H22+I22,0)</f>
        <v/>
      </c>
    </row>
    <row r="23">
      <c r="A23" s="6" t="n">
        <v>16</v>
      </c>
      <c r="B23" s="6" t="inlineStr">
        <is>
          <t>Expense Categorizer</t>
        </is>
      </c>
      <c r="C23" s="6" t="inlineStr">
        <is>
          <t>Finance</t>
        </is>
      </c>
      <c r="D23" s="7" t="n">
        <v>300</v>
      </c>
      <c r="E23" s="7" t="n">
        <v>90</v>
      </c>
      <c r="F23" s="8" t="n">
        <v>1</v>
      </c>
      <c r="G23" s="9">
        <f>MAX(0,(D23-E23)*F23/60)</f>
        <v/>
      </c>
      <c r="H23" s="10">
        <f>G23*$C$4</f>
        <v/>
      </c>
      <c r="I23" s="11" t="n">
        <v>0</v>
      </c>
      <c r="J23" s="7" t="inlineStr">
        <is>
          <t>Y</t>
        </is>
      </c>
      <c r="K23" s="10">
        <f>IF(UPPER(J23)="Y",H23+I23,0)</f>
        <v/>
      </c>
    </row>
    <row r="24">
      <c r="A24" s="6" t="n">
        <v>17</v>
      </c>
      <c r="B24" s="6" t="inlineStr">
        <is>
          <t>Monthly Financial Summary</t>
        </is>
      </c>
      <c r="C24" s="6" t="inlineStr">
        <is>
          <t>Finance</t>
        </is>
      </c>
      <c r="D24" s="7" t="n">
        <v>240</v>
      </c>
      <c r="E24" s="7" t="n">
        <v>60</v>
      </c>
      <c r="F24" s="8" t="n">
        <v>1</v>
      </c>
      <c r="G24" s="9">
        <f>MAX(0,(D24-E24)*F24/60)</f>
        <v/>
      </c>
      <c r="H24" s="10">
        <f>G24*$C$4</f>
        <v/>
      </c>
      <c r="I24" s="11" t="n">
        <v>0</v>
      </c>
      <c r="J24" s="7" t="inlineStr">
        <is>
          <t>Y</t>
        </is>
      </c>
      <c r="K24" s="10">
        <f>IF(UPPER(J24)="Y",H24+I24,0)</f>
        <v/>
      </c>
    </row>
    <row r="25">
      <c r="A25" s="6" t="n">
        <v>18</v>
      </c>
      <c r="B25" s="6" t="inlineStr">
        <is>
          <t>Spend Auditor (quarterly)</t>
        </is>
      </c>
      <c r="C25" s="6" t="inlineStr">
        <is>
          <t>Finance</t>
        </is>
      </c>
      <c r="D25" s="7" t="n">
        <v>150</v>
      </c>
      <c r="E25" s="7" t="n">
        <v>60</v>
      </c>
      <c r="F25" s="8">
        <f>1/3</f>
        <v/>
      </c>
      <c r="G25" s="9">
        <f>MAX(0,(D25-E25)*F25/60)</f>
        <v/>
      </c>
      <c r="H25" s="10">
        <f>G25*$C$4</f>
        <v/>
      </c>
      <c r="I25" s="11" t="n">
        <v>60</v>
      </c>
      <c r="J25" s="7" t="inlineStr">
        <is>
          <t>Y</t>
        </is>
      </c>
      <c r="K25" s="10">
        <f>IF(UPPER(J25)="Y",H25+I25,0)</f>
        <v/>
      </c>
    </row>
    <row r="26">
      <c r="A26" s="6" t="n">
        <v>19</v>
      </c>
      <c r="B26" s="6" t="inlineStr">
        <is>
          <t>Hiring Assistant (1 hire a quarter)</t>
        </is>
      </c>
      <c r="C26" s="6" t="inlineStr">
        <is>
          <t>People</t>
        </is>
      </c>
      <c r="D26" s="7" t="n">
        <v>900</v>
      </c>
      <c r="E26" s="7" t="n">
        <v>300</v>
      </c>
      <c r="F26" s="8">
        <f>1/3</f>
        <v/>
      </c>
      <c r="G26" s="9">
        <f>MAX(0,(D26-E26)*F26/60)</f>
        <v/>
      </c>
      <c r="H26" s="10">
        <f>G26*$C$4</f>
        <v/>
      </c>
      <c r="I26" s="11" t="n">
        <v>0</v>
      </c>
      <c r="J26" s="7" t="inlineStr">
        <is>
          <t>Y</t>
        </is>
      </c>
      <c r="K26" s="10">
        <f>IF(UPPER(J26)="Y",H26+I26,0)</f>
        <v/>
      </c>
    </row>
    <row r="27">
      <c r="A27" s="6" t="n">
        <v>20</v>
      </c>
      <c r="B27" s="6" t="inlineStr">
        <is>
          <t>Team Q&amp;A (15 questions a week)</t>
        </is>
      </c>
      <c r="C27" s="6" t="inlineStr">
        <is>
          <t>People</t>
        </is>
      </c>
      <c r="D27" s="7" t="n">
        <v>75</v>
      </c>
      <c r="E27" s="7" t="n">
        <v>15</v>
      </c>
      <c r="F27" s="8" t="n">
        <v>4</v>
      </c>
      <c r="G27" s="9">
        <f>MAX(0,(D27-E27)*F27/60)</f>
        <v/>
      </c>
      <c r="H27" s="10">
        <f>G27*$C$4</f>
        <v/>
      </c>
      <c r="I27" s="11" t="n">
        <v>0</v>
      </c>
      <c r="J27" s="7" t="inlineStr">
        <is>
          <t>Y</t>
        </is>
      </c>
      <c r="K27" s="10">
        <f>IF(UPPER(J27)="Y",H27+I27,0)</f>
        <v/>
      </c>
    </row>
    <row r="28">
      <c r="B28" s="3" t="inlineStr">
        <is>
          <t>Total (agents marked Y)</t>
        </is>
      </c>
      <c r="G28" s="12">
        <f>SUMPRODUCT((UPPER(J8:J27)="Y")*G8:G27)</f>
        <v/>
      </c>
      <c r="K28" s="13">
        <f>SUM(K8:K27)</f>
        <v/>
      </c>
    </row>
    <row r="30">
      <c r="B30" s="3" t="inlineStr">
        <is>
          <t>Monthly savings (agents marked Y)</t>
        </is>
      </c>
      <c r="C30" s="14">
        <f>K28</f>
        <v/>
      </c>
    </row>
    <row r="31">
      <c r="B31" s="3" t="inlineStr">
        <is>
          <t>Minus AI plan cost</t>
        </is>
      </c>
      <c r="C31" s="14">
        <f>-C5</f>
        <v/>
      </c>
    </row>
    <row r="32">
      <c r="B32" s="3" t="inlineStr">
        <is>
          <t>Net savings per month</t>
        </is>
      </c>
      <c r="C32" s="14">
        <f>K28-C5</f>
        <v/>
      </c>
    </row>
    <row r="33">
      <c r="B33" s="3" t="inlineStr">
        <is>
          <t>Net savings per year</t>
        </is>
      </c>
      <c r="C33" s="14">
        <f>(K28-C5)*12</f>
        <v/>
      </c>
    </row>
    <row r="34">
      <c r="B34" s="3" t="inlineStr">
        <is>
          <t>Return on the plan (savings ÷ cost)</t>
        </is>
      </c>
      <c r="C34" s="15">
        <f>IF(C5&gt;0,K28/C5,"")</f>
        <v/>
      </c>
    </row>
    <row r="36">
      <c r="B36" s="2" t="inlineStr">
        <is>
          <t>Tip: time each task by hand once before you build the agent, then time your review after two weeks, and replace the defaults with your real numbers.</t>
        </is>
      </c>
    </row>
  </sheetData>
  <dataValidations count="1">
    <dataValidation sqref="J8:J27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2026-10-09T18:01:25Z</dcterms:created>
  <dcterms:modified xmlns:dcterms="http://purl.org/dc/terms/" xmlns:xsi="http://www.w3.org/2001/XMLSchema-instance" xsi:type="dcterms:W3CDTF">2026-10-09T18:01:25Z</dcterms:modified>
</cp:coreProperties>
</file>