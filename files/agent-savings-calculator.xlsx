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"/>
    <numFmt numFmtId="166" formatCode="0.##"/>
    <numFmt numFmtId="167" formatCode="0&quot;x&quot;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2606D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DF3EC"/>
      </patternFill>
    </fill>
    <fill>
      <patternFill patternType="solid">
        <fgColor rgb="001F6F6B"/>
      </patternFill>
    </fill>
    <fill>
      <patternFill patternType="solid">
        <fgColor rgb="00ECF6F4"/>
      </patternFill>
    </fill>
  </fills>
  <borders count="2">
    <border>
      <left/>
      <right/>
      <top/>
      <bottom/>
      <diagonal/>
    </border>
    <border>
      <bottom style="thin">
        <color rgb="00E4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0" pivotButton="0" quotePrefix="0" xfId="0"/>
    <xf numFmtId="0" fontId="4" fillId="3" borderId="0" applyAlignment="1" pivotButton="0" quotePrefix="0" xfId="0">
      <alignment vertical="center" wrapText="1"/>
    </xf>
    <xf numFmtId="0" fontId="0" fillId="0" borderId="1" pivotButton="0" quotePrefix="0" xfId="0"/>
    <xf numFmtId="164" fontId="0" fillId="2" borderId="1" pivotButton="0" quotePrefix="0" xfId="0"/>
    <xf numFmtId="0" fontId="0" fillId="2" borderId="1" pivotButton="0" quotePrefix="0" xfId="0"/>
    <xf numFmtId="166" fontId="0" fillId="2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5" fontId="3" fillId="0" borderId="0" pivotButton="0" quotePrefix="0" xfId="0"/>
    <xf numFmtId="164" fontId="3" fillId="0" borderId="0" pivotButton="0" quotePrefix="0" xfId="0"/>
    <xf numFmtId="164" fontId="3" fillId="4" borderId="0" pivotButton="0" quotePrefix="0" xfId="0"/>
    <xf numFmtId="167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7" customWidth="1" min="3" max="3"/>
    <col width="24" customWidth="1" min="4" max="4"/>
    <col width="10" customWidth="1" min="5" max="5"/>
    <col width="13" customWidth="1" min="6" max="6"/>
    <col width="13" customWidth="1" min="7" max="7"/>
    <col width="10" customWidth="1" min="8" max="8"/>
    <col width="12" customWidth="1" min="9" max="9"/>
    <col width="12" customWidth="1" min="10" max="10"/>
    <col width="13" customWidth="1" min="11" max="11"/>
    <col width="11" customWidth="1" min="12" max="12"/>
    <col width="14" customWidth="1" min="13" max="13"/>
  </cols>
  <sheetData>
    <row r="1">
      <c r="A1" s="1" t="inlineStr">
        <is>
          <t>20 AI Agents That Pay for Themselves: savings calculator</t>
        </is>
      </c>
    </row>
    <row r="2">
      <c r="A2" s="2" t="inlineStr">
        <is>
          <t>Change the shaded cells to match your business. Everything else calculates. Cash and revenue upside are not included.</t>
        </is>
      </c>
    </row>
    <row r="3">
      <c r="A3" s="2" t="inlineStr">
        <is>
          <t>Default hourly cost = the role's BLS median pay (May 2025) ÷ 0.70 for benefits and payroll taxes. Replace it with what you actually pay.</t>
        </is>
      </c>
    </row>
    <row r="5">
      <c r="A5" s="3" t="inlineStr">
        <is>
          <t>Monthly AI plan cost ($)</t>
        </is>
      </c>
      <c r="C5" s="4" t="n">
        <v>20</v>
      </c>
    </row>
    <row r="7" ht="45" customHeight="1">
      <c r="A7" s="5" t="inlineStr">
        <is>
          <t>#</t>
        </is>
      </c>
      <c r="B7" s="5" t="inlineStr">
        <is>
          <t>Agent</t>
        </is>
      </c>
      <c r="C7" s="5" t="inlineStr">
        <is>
          <t>Department</t>
        </is>
      </c>
      <c r="D7" s="5" t="inlineStr">
        <is>
          <t>Who would do it by hand</t>
        </is>
      </c>
      <c r="E7" s="5" t="inlineStr">
        <is>
          <t>Hourly cost ($)</t>
        </is>
      </c>
      <c r="F7" s="5" t="inlineStr">
        <is>
          <t>Minutes by hand (per run)</t>
        </is>
      </c>
      <c r="G7" s="5" t="inlineStr">
        <is>
          <t>Minutes to review (per run)</t>
        </is>
      </c>
      <c r="H7" s="5" t="inlineStr">
        <is>
          <t>Runs per month</t>
        </is>
      </c>
      <c r="I7" s="5" t="inlineStr">
        <is>
          <t>Hours saved / month</t>
        </is>
      </c>
      <c r="J7" s="5" t="inlineStr">
        <is>
          <t>Time savings / month</t>
        </is>
      </c>
      <c r="K7" s="5" t="inlineStr">
        <is>
          <t>Direct savings / month ($)</t>
        </is>
      </c>
      <c r="L7" s="5" t="inlineStr">
        <is>
          <t>Building it? (Y/N)</t>
        </is>
      </c>
      <c r="M7" s="5" t="inlineStr">
        <is>
          <t>Counted savings / month</t>
        </is>
      </c>
    </row>
    <row r="8">
      <c r="A8" s="6" t="n">
        <v>1</v>
      </c>
      <c r="B8" s="6" t="inlineStr">
        <is>
          <t>Inbox Triage</t>
        </is>
      </c>
      <c r="C8" s="6" t="inlineStr">
        <is>
          <t>Operations</t>
        </is>
      </c>
      <c r="D8" s="6" t="inlineStr">
        <is>
          <t>Executive assistant</t>
        </is>
      </c>
      <c r="E8" s="7" t="n">
        <v>53</v>
      </c>
      <c r="F8" s="8" t="n">
        <v>45</v>
      </c>
      <c r="G8" s="8" t="n">
        <v>15</v>
      </c>
      <c r="H8" s="9" t="n">
        <v>20</v>
      </c>
      <c r="I8" s="10">
        <f>MAX(0,(F8-G8)*H8/60)</f>
        <v/>
      </c>
      <c r="J8" s="11">
        <f>I8*E8</f>
        <v/>
      </c>
      <c r="K8" s="7" t="n">
        <v>0</v>
      </c>
      <c r="L8" s="8" t="inlineStr">
        <is>
          <t>Y</t>
        </is>
      </c>
      <c r="M8" s="11">
        <f>IF(UPPER(L8)="Y",J8+K8,0)</f>
        <v/>
      </c>
    </row>
    <row r="9">
      <c r="A9" s="6" t="n">
        <v>2</v>
      </c>
      <c r="B9" s="6" t="inlineStr">
        <is>
          <t>Meeting Notes</t>
        </is>
      </c>
      <c r="C9" s="6" t="inlineStr">
        <is>
          <t>Operations</t>
        </is>
      </c>
      <c r="D9" s="6" t="inlineStr">
        <is>
          <t>Executive assistant</t>
        </is>
      </c>
      <c r="E9" s="7" t="n">
        <v>53</v>
      </c>
      <c r="F9" s="8" t="n">
        <v>20</v>
      </c>
      <c r="G9" s="8" t="n">
        <v>5</v>
      </c>
      <c r="H9" s="9" t="n">
        <v>24</v>
      </c>
      <c r="I9" s="10">
        <f>MAX(0,(F9-G9)*H9/60)</f>
        <v/>
      </c>
      <c r="J9" s="11">
        <f>I9*E9</f>
        <v/>
      </c>
      <c r="K9" s="7" t="n">
        <v>0</v>
      </c>
      <c r="L9" s="8" t="inlineStr">
        <is>
          <t>Y</t>
        </is>
      </c>
      <c r="M9" s="11">
        <f>IF(UPPER(L9)="Y",J9+K9,0)</f>
        <v/>
      </c>
    </row>
    <row r="10">
      <c r="A10" s="6" t="n">
        <v>3</v>
      </c>
      <c r="B10" s="6" t="inlineStr">
        <is>
          <t>SOP Writer</t>
        </is>
      </c>
      <c r="C10" s="6" t="inlineStr">
        <is>
          <t>Operations</t>
        </is>
      </c>
      <c r="D10" s="6" t="inlineStr">
        <is>
          <t>Technical writer</t>
        </is>
      </c>
      <c r="E10" s="7" t="n">
        <v>62</v>
      </c>
      <c r="F10" s="8" t="n">
        <v>240</v>
      </c>
      <c r="G10" s="8" t="n">
        <v>60</v>
      </c>
      <c r="H10" s="9" t="n">
        <v>2</v>
      </c>
      <c r="I10" s="10">
        <f>MAX(0,(F10-G10)*H10/60)</f>
        <v/>
      </c>
      <c r="J10" s="11">
        <f>I10*E10</f>
        <v/>
      </c>
      <c r="K10" s="7" t="n">
        <v>0</v>
      </c>
      <c r="L10" s="8" t="inlineStr">
        <is>
          <t>Y</t>
        </is>
      </c>
      <c r="M10" s="11">
        <f>IF(UPPER(L10)="Y",J10+K10,0)</f>
        <v/>
      </c>
    </row>
    <row r="11">
      <c r="A11" s="6" t="n">
        <v>4</v>
      </c>
      <c r="B11" s="6" t="inlineStr">
        <is>
          <t>Weekly Ops Report</t>
        </is>
      </c>
      <c r="C11" s="6" t="inlineStr">
        <is>
          <t>Operations</t>
        </is>
      </c>
      <c r="D11" s="6" t="inlineStr">
        <is>
          <t>Management analyst</t>
        </is>
      </c>
      <c r="E11" s="7" t="n">
        <v>70</v>
      </c>
      <c r="F11" s="8" t="n">
        <v>180</v>
      </c>
      <c r="G11" s="8" t="n">
        <v>30</v>
      </c>
      <c r="H11" s="9" t="n">
        <v>4</v>
      </c>
      <c r="I11" s="10">
        <f>MAX(0,(F11-G11)*H11/60)</f>
        <v/>
      </c>
      <c r="J11" s="11">
        <f>I11*E11</f>
        <v/>
      </c>
      <c r="K11" s="7" t="n">
        <v>0</v>
      </c>
      <c r="L11" s="8" t="inlineStr">
        <is>
          <t>Y</t>
        </is>
      </c>
      <c r="M11" s="11">
        <f>IF(UPPER(L11)="Y",J11+K11,0)</f>
        <v/>
      </c>
    </row>
    <row r="12">
      <c r="A12" s="6" t="n">
        <v>5</v>
      </c>
      <c r="B12" s="6" t="inlineStr">
        <is>
          <t>Prospect Research</t>
        </is>
      </c>
      <c r="C12" s="6" t="inlineStr">
        <is>
          <t>Sales</t>
        </is>
      </c>
      <c r="D12" s="6" t="inlineStr">
        <is>
          <t>Sales representative</t>
        </is>
      </c>
      <c r="E12" s="7" t="n">
        <v>53</v>
      </c>
      <c r="F12" s="8" t="n">
        <v>20</v>
      </c>
      <c r="G12" s="8" t="n">
        <v>5</v>
      </c>
      <c r="H12" s="9" t="n">
        <v>20</v>
      </c>
      <c r="I12" s="10">
        <f>MAX(0,(F12-G12)*H12/60)</f>
        <v/>
      </c>
      <c r="J12" s="11">
        <f>I12*E12</f>
        <v/>
      </c>
      <c r="K12" s="7" t="n">
        <v>0</v>
      </c>
      <c r="L12" s="8" t="inlineStr">
        <is>
          <t>Y</t>
        </is>
      </c>
      <c r="M12" s="11">
        <f>IF(UPPER(L12)="Y",J12+K12,0)</f>
        <v/>
      </c>
    </row>
    <row r="13">
      <c r="A13" s="6" t="n">
        <v>6</v>
      </c>
      <c r="B13" s="6" t="inlineStr">
        <is>
          <t>Follow-Up</t>
        </is>
      </c>
      <c r="C13" s="6" t="inlineStr">
        <is>
          <t>Sales</t>
        </is>
      </c>
      <c r="D13" s="6" t="inlineStr">
        <is>
          <t>Sales representative</t>
        </is>
      </c>
      <c r="E13" s="7" t="n">
        <v>53</v>
      </c>
      <c r="F13" s="8" t="n">
        <v>30</v>
      </c>
      <c r="G13" s="8" t="n">
        <v>12</v>
      </c>
      <c r="H13" s="9" t="n">
        <v>20</v>
      </c>
      <c r="I13" s="10">
        <f>MAX(0,(F13-G13)*H13/60)</f>
        <v/>
      </c>
      <c r="J13" s="11">
        <f>I13*E13</f>
        <v/>
      </c>
      <c r="K13" s="7" t="n">
        <v>0</v>
      </c>
      <c r="L13" s="8" t="inlineStr">
        <is>
          <t>Y</t>
        </is>
      </c>
      <c r="M13" s="11">
        <f>IF(UPPER(L13)="Y",J13+K13,0)</f>
        <v/>
      </c>
    </row>
    <row r="14">
      <c r="A14" s="6" t="n">
        <v>7</v>
      </c>
      <c r="B14" s="6" t="inlineStr">
        <is>
          <t>Proposal Builder</t>
        </is>
      </c>
      <c r="C14" s="6" t="inlineStr">
        <is>
          <t>Sales</t>
        </is>
      </c>
      <c r="D14" s="6" t="inlineStr">
        <is>
          <t>Sales representative</t>
        </is>
      </c>
      <c r="E14" s="7" t="n">
        <v>53</v>
      </c>
      <c r="F14" s="8" t="n">
        <v>180</v>
      </c>
      <c r="G14" s="8" t="n">
        <v>60</v>
      </c>
      <c r="H14" s="9" t="n">
        <v>4</v>
      </c>
      <c r="I14" s="10">
        <f>MAX(0,(F14-G14)*H14/60)</f>
        <v/>
      </c>
      <c r="J14" s="11">
        <f>I14*E14</f>
        <v/>
      </c>
      <c r="K14" s="7" t="n">
        <v>0</v>
      </c>
      <c r="L14" s="8" t="inlineStr">
        <is>
          <t>Y</t>
        </is>
      </c>
      <c r="M14" s="11">
        <f>IF(UPPER(L14)="Y",J14+K14,0)</f>
        <v/>
      </c>
    </row>
    <row r="15">
      <c r="A15" s="6" t="n">
        <v>8</v>
      </c>
      <c r="B15" s="6" t="inlineStr">
        <is>
          <t>Content Repurposing</t>
        </is>
      </c>
      <c r="C15" s="6" t="inlineStr">
        <is>
          <t>Marketing</t>
        </is>
      </c>
      <c r="D15" s="6" t="inlineStr">
        <is>
          <t>Marketing specialist</t>
        </is>
      </c>
      <c r="E15" s="7" t="n">
        <v>54</v>
      </c>
      <c r="F15" s="8" t="n">
        <v>180</v>
      </c>
      <c r="G15" s="8" t="n">
        <v>45</v>
      </c>
      <c r="H15" s="9" t="n">
        <v>4</v>
      </c>
      <c r="I15" s="10">
        <f>MAX(0,(F15-G15)*H15/60)</f>
        <v/>
      </c>
      <c r="J15" s="11">
        <f>I15*E15</f>
        <v/>
      </c>
      <c r="K15" s="7" t="n">
        <v>0</v>
      </c>
      <c r="L15" s="8" t="inlineStr">
        <is>
          <t>Y</t>
        </is>
      </c>
      <c r="M15" s="11">
        <f>IF(UPPER(L15)="Y",J15+K15,0)</f>
        <v/>
      </c>
    </row>
    <row r="16">
      <c r="A16" s="6" t="n">
        <v>9</v>
      </c>
      <c r="B16" s="6" t="inlineStr">
        <is>
          <t>Newsletter</t>
        </is>
      </c>
      <c r="C16" s="6" t="inlineStr">
        <is>
          <t>Marketing</t>
        </is>
      </c>
      <c r="D16" s="6" t="inlineStr">
        <is>
          <t>Writer</t>
        </is>
      </c>
      <c r="E16" s="7" t="n">
        <v>53</v>
      </c>
      <c r="F16" s="8" t="n">
        <v>180</v>
      </c>
      <c r="G16" s="8" t="n">
        <v>60</v>
      </c>
      <c r="H16" s="9" t="n">
        <v>4</v>
      </c>
      <c r="I16" s="10">
        <f>MAX(0,(F16-G16)*H16/60)</f>
        <v/>
      </c>
      <c r="J16" s="11">
        <f>I16*E16</f>
        <v/>
      </c>
      <c r="K16" s="7" t="n">
        <v>0</v>
      </c>
      <c r="L16" s="8" t="inlineStr">
        <is>
          <t>Y</t>
        </is>
      </c>
      <c r="M16" s="11">
        <f>IF(UPPER(L16)="Y",J16+K16,0)</f>
        <v/>
      </c>
    </row>
    <row r="17">
      <c r="A17" s="6" t="n">
        <v>10</v>
      </c>
      <c r="B17" s="6" t="inlineStr">
        <is>
          <t>Competitor Watch</t>
        </is>
      </c>
      <c r="C17" s="6" t="inlineStr">
        <is>
          <t>Marketing</t>
        </is>
      </c>
      <c r="D17" s="6" t="inlineStr">
        <is>
          <t>Market research analyst</t>
        </is>
      </c>
      <c r="E17" s="7" t="n">
        <v>54</v>
      </c>
      <c r="F17" s="8" t="n">
        <v>240</v>
      </c>
      <c r="G17" s="8" t="n">
        <v>30</v>
      </c>
      <c r="H17" s="9" t="n">
        <v>1</v>
      </c>
      <c r="I17" s="10">
        <f>MAX(0,(F17-G17)*H17/60)</f>
        <v/>
      </c>
      <c r="J17" s="11">
        <f>I17*E17</f>
        <v/>
      </c>
      <c r="K17" s="7" t="n">
        <v>0</v>
      </c>
      <c r="L17" s="8" t="inlineStr">
        <is>
          <t>Y</t>
        </is>
      </c>
      <c r="M17" s="11">
        <f>IF(UPPER(L17)="Y",J17+K17,0)</f>
        <v/>
      </c>
    </row>
    <row r="18">
      <c r="A18" s="6" t="n">
        <v>11</v>
      </c>
      <c r="B18" s="6" t="inlineStr">
        <is>
          <t>Review Reply</t>
        </is>
      </c>
      <c r="C18" s="6" t="inlineStr">
        <is>
          <t>Marketing</t>
        </is>
      </c>
      <c r="D18" s="6" t="inlineStr">
        <is>
          <t>Customer service rep</t>
        </is>
      </c>
      <c r="E18" s="7" t="n">
        <v>31</v>
      </c>
      <c r="F18" s="8" t="n">
        <v>9</v>
      </c>
      <c r="G18" s="8" t="n">
        <v>3</v>
      </c>
      <c r="H18" s="9" t="n">
        <v>25</v>
      </c>
      <c r="I18" s="10">
        <f>MAX(0,(F18-G18)*H18/60)</f>
        <v/>
      </c>
      <c r="J18" s="11">
        <f>I18*E18</f>
        <v/>
      </c>
      <c r="K18" s="7" t="n">
        <v>0</v>
      </c>
      <c r="L18" s="8" t="inlineStr">
        <is>
          <t>Y</t>
        </is>
      </c>
      <c r="M18" s="11">
        <f>IF(UPPER(L18)="Y",J18+K18,0)</f>
        <v/>
      </c>
    </row>
    <row r="19">
      <c r="A19" s="6" t="n">
        <v>12</v>
      </c>
      <c r="B19" s="6" t="inlineStr">
        <is>
          <t>Support Reply</t>
        </is>
      </c>
      <c r="C19" s="6" t="inlineStr">
        <is>
          <t>Customer service</t>
        </is>
      </c>
      <c r="D19" s="6" t="inlineStr">
        <is>
          <t>Customer service rep</t>
        </is>
      </c>
      <c r="E19" s="7" t="n">
        <v>31</v>
      </c>
      <c r="F19" s="8" t="n">
        <v>8</v>
      </c>
      <c r="G19" s="8" t="n">
        <v>3</v>
      </c>
      <c r="H19" s="9" t="n">
        <v>96</v>
      </c>
      <c r="I19" s="10">
        <f>MAX(0,(F19-G19)*H19/60)</f>
        <v/>
      </c>
      <c r="J19" s="11">
        <f>I19*E19</f>
        <v/>
      </c>
      <c r="K19" s="7" t="n">
        <v>0</v>
      </c>
      <c r="L19" s="8" t="inlineStr">
        <is>
          <t>Y</t>
        </is>
      </c>
      <c r="M19" s="11">
        <f>IF(UPPER(L19)="Y",J19+K19,0)</f>
        <v/>
      </c>
    </row>
    <row r="20">
      <c r="A20" s="6" t="n">
        <v>13</v>
      </c>
      <c r="B20" s="6" t="inlineStr">
        <is>
          <t>Feedback Analyzer</t>
        </is>
      </c>
      <c r="C20" s="6" t="inlineStr">
        <is>
          <t>Customer service</t>
        </is>
      </c>
      <c r="D20" s="6" t="inlineStr">
        <is>
          <t>Market research analyst</t>
        </is>
      </c>
      <c r="E20" s="7" t="n">
        <v>54</v>
      </c>
      <c r="F20" s="8" t="n">
        <v>240</v>
      </c>
      <c r="G20" s="8" t="n">
        <v>30</v>
      </c>
      <c r="H20" s="9" t="n">
        <v>1</v>
      </c>
      <c r="I20" s="10">
        <f>MAX(0,(F20-G20)*H20/60)</f>
        <v/>
      </c>
      <c r="J20" s="11">
        <f>I20*E20</f>
        <v/>
      </c>
      <c r="K20" s="7" t="n">
        <v>0</v>
      </c>
      <c r="L20" s="8" t="inlineStr">
        <is>
          <t>Y</t>
        </is>
      </c>
      <c r="M20" s="11">
        <f>IF(UPPER(L20)="Y",J20+K20,0)</f>
        <v/>
      </c>
    </row>
    <row r="21">
      <c r="A21" s="6" t="n">
        <v>14</v>
      </c>
      <c r="B21" s="6" t="inlineStr">
        <is>
          <t>Client Onboarding</t>
        </is>
      </c>
      <c r="C21" s="6" t="inlineStr">
        <is>
          <t>Customer service</t>
        </is>
      </c>
      <c r="D21" s="6" t="inlineStr">
        <is>
          <t>Customer service rep</t>
        </is>
      </c>
      <c r="E21" s="7" t="n">
        <v>31</v>
      </c>
      <c r="F21" s="8" t="n">
        <v>120</v>
      </c>
      <c r="G21" s="8" t="n">
        <v>30</v>
      </c>
      <c r="H21" s="9" t="n">
        <v>4</v>
      </c>
      <c r="I21" s="10">
        <f>MAX(0,(F21-G21)*H21/60)</f>
        <v/>
      </c>
      <c r="J21" s="11">
        <f>I21*E21</f>
        <v/>
      </c>
      <c r="K21" s="7" t="n">
        <v>0</v>
      </c>
      <c r="L21" s="8" t="inlineStr">
        <is>
          <t>Y</t>
        </is>
      </c>
      <c r="M21" s="11">
        <f>IF(UPPER(L21)="Y",J21+K21,0)</f>
        <v/>
      </c>
    </row>
    <row r="22">
      <c r="A22" s="6" t="n">
        <v>15</v>
      </c>
      <c r="B22" s="6" t="inlineStr">
        <is>
          <t>Collections</t>
        </is>
      </c>
      <c r="C22" s="6" t="inlineStr">
        <is>
          <t>Finance</t>
        </is>
      </c>
      <c r="D22" s="6" t="inlineStr">
        <is>
          <t>Bill and account collector</t>
        </is>
      </c>
      <c r="E22" s="7" t="n">
        <v>32</v>
      </c>
      <c r="F22" s="8" t="n">
        <v>240</v>
      </c>
      <c r="G22" s="8" t="n">
        <v>60</v>
      </c>
      <c r="H22" s="9" t="n">
        <v>1</v>
      </c>
      <c r="I22" s="10">
        <f>MAX(0,(F22-G22)*H22/60)</f>
        <v/>
      </c>
      <c r="J22" s="11">
        <f>I22*E22</f>
        <v/>
      </c>
      <c r="K22" s="7" t="n">
        <v>0</v>
      </c>
      <c r="L22" s="8" t="inlineStr">
        <is>
          <t>Y</t>
        </is>
      </c>
      <c r="M22" s="11">
        <f>IF(UPPER(L22)="Y",J22+K22,0)</f>
        <v/>
      </c>
    </row>
    <row r="23">
      <c r="A23" s="6" t="n">
        <v>16</v>
      </c>
      <c r="B23" s="6" t="inlineStr">
        <is>
          <t>Expense Categorizer</t>
        </is>
      </c>
      <c r="C23" s="6" t="inlineStr">
        <is>
          <t>Finance</t>
        </is>
      </c>
      <c r="D23" s="6" t="inlineStr">
        <is>
          <t>Bookkeeping clerk</t>
        </is>
      </c>
      <c r="E23" s="7" t="n">
        <v>35</v>
      </c>
      <c r="F23" s="8" t="n">
        <v>300</v>
      </c>
      <c r="G23" s="8" t="n">
        <v>90</v>
      </c>
      <c r="H23" s="9" t="n">
        <v>1</v>
      </c>
      <c r="I23" s="10">
        <f>MAX(0,(F23-G23)*H23/60)</f>
        <v/>
      </c>
      <c r="J23" s="11">
        <f>I23*E23</f>
        <v/>
      </c>
      <c r="K23" s="7" t="n">
        <v>0</v>
      </c>
      <c r="L23" s="8" t="inlineStr">
        <is>
          <t>Y</t>
        </is>
      </c>
      <c r="M23" s="11">
        <f>IF(UPPER(L23)="Y",J23+K23,0)</f>
        <v/>
      </c>
    </row>
    <row r="24">
      <c r="A24" s="6" t="n">
        <v>17</v>
      </c>
      <c r="B24" s="6" t="inlineStr">
        <is>
          <t>Monthly Financial Summary</t>
        </is>
      </c>
      <c r="C24" s="6" t="inlineStr">
        <is>
          <t>Finance</t>
        </is>
      </c>
      <c r="D24" s="6" t="inlineStr">
        <is>
          <t>Accountant</t>
        </is>
      </c>
      <c r="E24" s="7" t="n">
        <v>57</v>
      </c>
      <c r="F24" s="8" t="n">
        <v>240</v>
      </c>
      <c r="G24" s="8" t="n">
        <v>60</v>
      </c>
      <c r="H24" s="9" t="n">
        <v>1</v>
      </c>
      <c r="I24" s="10">
        <f>MAX(0,(F24-G24)*H24/60)</f>
        <v/>
      </c>
      <c r="J24" s="11">
        <f>I24*E24</f>
        <v/>
      </c>
      <c r="K24" s="7" t="n">
        <v>0</v>
      </c>
      <c r="L24" s="8" t="inlineStr">
        <is>
          <t>Y</t>
        </is>
      </c>
      <c r="M24" s="11">
        <f>IF(UPPER(L24)="Y",J24+K24,0)</f>
        <v/>
      </c>
    </row>
    <row r="25">
      <c r="A25" s="6" t="n">
        <v>18</v>
      </c>
      <c r="B25" s="6" t="inlineStr">
        <is>
          <t>Spend Auditor (quarterly)</t>
        </is>
      </c>
      <c r="C25" s="6" t="inlineStr">
        <is>
          <t>Finance</t>
        </is>
      </c>
      <c r="D25" s="6" t="inlineStr">
        <is>
          <t>Bookkeeping clerk</t>
        </is>
      </c>
      <c r="E25" s="7" t="n">
        <v>35</v>
      </c>
      <c r="F25" s="8" t="n">
        <v>150</v>
      </c>
      <c r="G25" s="8" t="n">
        <v>60</v>
      </c>
      <c r="H25" s="9">
        <f>1/3</f>
        <v/>
      </c>
      <c r="I25" s="10">
        <f>MAX(0,(F25-G25)*H25/60)</f>
        <v/>
      </c>
      <c r="J25" s="11">
        <f>I25*E25</f>
        <v/>
      </c>
      <c r="K25" s="7" t="n">
        <v>60</v>
      </c>
      <c r="L25" s="8" t="inlineStr">
        <is>
          <t>Y</t>
        </is>
      </c>
      <c r="M25" s="11">
        <f>IF(UPPER(L25)="Y",J25+K25,0)</f>
        <v/>
      </c>
    </row>
    <row r="26">
      <c r="A26" s="6" t="n">
        <v>19</v>
      </c>
      <c r="B26" s="6" t="inlineStr">
        <is>
          <t>Hiring Assistant (1 hire a quarter)</t>
        </is>
      </c>
      <c r="C26" s="6" t="inlineStr">
        <is>
          <t>People</t>
        </is>
      </c>
      <c r="D26" s="6" t="inlineStr">
        <is>
          <t>HR specialist</t>
        </is>
      </c>
      <c r="E26" s="7" t="n">
        <v>52</v>
      </c>
      <c r="F26" s="8" t="n">
        <v>900</v>
      </c>
      <c r="G26" s="8" t="n">
        <v>300</v>
      </c>
      <c r="H26" s="9">
        <f>1/3</f>
        <v/>
      </c>
      <c r="I26" s="10">
        <f>MAX(0,(F26-G26)*H26/60)</f>
        <v/>
      </c>
      <c r="J26" s="11">
        <f>I26*E26</f>
        <v/>
      </c>
      <c r="K26" s="7" t="n">
        <v>0</v>
      </c>
      <c r="L26" s="8" t="inlineStr">
        <is>
          <t>Y</t>
        </is>
      </c>
      <c r="M26" s="11">
        <f>IF(UPPER(L26)="Y",J26+K26,0)</f>
        <v/>
      </c>
    </row>
    <row r="27">
      <c r="A27" s="6" t="n">
        <v>20</v>
      </c>
      <c r="B27" s="6" t="inlineStr">
        <is>
          <t>Team Q&amp;A (15 questions a week)</t>
        </is>
      </c>
      <c r="C27" s="6" t="inlineStr">
        <is>
          <t>People</t>
        </is>
      </c>
      <c r="D27" s="6" t="inlineStr">
        <is>
          <t>Operations manager</t>
        </is>
      </c>
      <c r="E27" s="7" t="n">
        <v>73</v>
      </c>
      <c r="F27" s="8" t="n">
        <v>75</v>
      </c>
      <c r="G27" s="8" t="n">
        <v>15</v>
      </c>
      <c r="H27" s="9" t="n">
        <v>4</v>
      </c>
      <c r="I27" s="10">
        <f>MAX(0,(F27-G27)*H27/60)</f>
        <v/>
      </c>
      <c r="J27" s="11">
        <f>I27*E27</f>
        <v/>
      </c>
      <c r="K27" s="7" t="n">
        <v>0</v>
      </c>
      <c r="L27" s="8" t="inlineStr">
        <is>
          <t>Y</t>
        </is>
      </c>
      <c r="M27" s="11">
        <f>IF(UPPER(L27)="Y",J27+K27,0)</f>
        <v/>
      </c>
    </row>
    <row r="28">
      <c r="B28" s="3" t="inlineStr">
        <is>
          <t>Total (agents marked Y)</t>
        </is>
      </c>
      <c r="I28" s="12">
        <f>SUMPRODUCT((UPPER(L8:L27)="Y")*I8:I27)</f>
        <v/>
      </c>
      <c r="M28" s="13">
        <f>SUM(M8:M27)</f>
        <v/>
      </c>
    </row>
    <row r="30">
      <c r="B30" s="3" t="inlineStr">
        <is>
          <t>Monthly savings (agents marked Y)</t>
        </is>
      </c>
      <c r="C30" s="14">
        <f>M28</f>
        <v/>
      </c>
    </row>
    <row r="31">
      <c r="B31" s="3" t="inlineStr">
        <is>
          <t>Minus AI plan cost</t>
        </is>
      </c>
      <c r="C31" s="14">
        <f>-C5</f>
        <v/>
      </c>
    </row>
    <row r="32">
      <c r="B32" s="3" t="inlineStr">
        <is>
          <t>Net savings per month</t>
        </is>
      </c>
      <c r="C32" s="14">
        <f>M28-C5</f>
        <v/>
      </c>
    </row>
    <row r="33">
      <c r="B33" s="3" t="inlineStr">
        <is>
          <t>Net savings per year</t>
        </is>
      </c>
      <c r="C33" s="14">
        <f>(M28-C5)*12</f>
        <v/>
      </c>
    </row>
    <row r="34">
      <c r="B34" s="3" t="inlineStr">
        <is>
          <t>Return on the plan (savings ÷ cost)</t>
        </is>
      </c>
      <c r="C34" s="15">
        <f>IF(C5&gt;0,M28/C5,"")</f>
        <v/>
      </c>
    </row>
    <row r="36">
      <c r="B36" s="2" t="inlineStr">
        <is>
          <t>Tip: time each task by hand once before you build the agent, then time your review after two weeks, and replace the defaults with your real numbers.</t>
        </is>
      </c>
    </row>
  </sheetData>
  <dataValidations count="1">
    <dataValidation sqref="L8:L27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2026-10-09T18:20:45Z</dcterms:created>
  <dcterms:modified xmlns:dcterms="http://purl.org/dc/terms/" xmlns:xsi="http://www.w3.org/2001/XMLSchema-instance" xsi:type="dcterms:W3CDTF">2026-10-09T18:20:45Z</dcterms:modified>
</cp:coreProperties>
</file>